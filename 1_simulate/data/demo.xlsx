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https://kanggle-my.sharepoint.com/personal/phonedata_kanggle_onmicrosoft_com/Documents/XMU/likangguo/work/2022_BreakingPoint/data/"/>
    </mc:Choice>
  </mc:AlternateContent>
  <xr:revisionPtr revIDLastSave="1" documentId="11_F4571B7AB6F3C3413774770D5F66A07DD8D68423" xr6:coauthVersionLast="47" xr6:coauthVersionMax="47" xr10:uidLastSave="{A67C060B-B953-4960-8F68-498822052B1A}"/>
  <bookViews>
    <workbookView xWindow="-108" yWindow="-108" windowWidth="23256" windowHeight="12576" xr2:uid="{00000000-000D-0000-FFFF-FFFF00000000}"/>
  </bookViews>
  <sheets>
    <sheet name="shanghai" sheetId="1" r:id="rId1"/>
    <sheet name="wuhan" sheetId="2" r:id="rId2"/>
    <sheet name="shenzhen" sheetId="3" r:id="rId3"/>
    <sheet name="changsh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4" l="1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C6" i="4"/>
  <c r="C5" i="4"/>
  <c r="C4" i="4"/>
  <c r="B2" i="4"/>
  <c r="D2" i="4" s="1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C6" i="3"/>
  <c r="C5" i="3"/>
  <c r="C4" i="3"/>
  <c r="B2" i="3"/>
  <c r="D2" i="3" s="1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C6" i="2"/>
  <c r="C5" i="2"/>
  <c r="C4" i="2"/>
  <c r="B2" i="2"/>
  <c r="D2" i="2" s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C6" i="1"/>
  <c r="C5" i="1"/>
  <c r="C4" i="1"/>
  <c r="D2" i="1"/>
  <c r="C2" i="1"/>
  <c r="C2" i="4" l="1"/>
  <c r="C2" i="2"/>
  <c r="C2" i="3"/>
</calcChain>
</file>

<file path=xl/sharedStrings.xml><?xml version="1.0" encoding="utf-8"?>
<sst xmlns="http://schemas.openxmlformats.org/spreadsheetml/2006/main" count="76" uniqueCount="18">
  <si>
    <t>value</t>
  </si>
  <si>
    <t>total</t>
  </si>
  <si>
    <t>full_vaccine_cover</t>
  </si>
  <si>
    <t>booster_vaccine_cover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</si>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</sst>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9" formatCode="0_);[Red]\(0\)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179" fontId="0" fillId="0" borderId="0" xfId="0" applyNumberFormat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C2" sqref="C2"/>
    </sheetView>
  </sheetViews>
  <sheetFormatPr defaultColWidth="9" defaultRowHeight="14.4" x14ac:dyDescent="0.25"/>
  <cols>
    <col min="3" max="3" width="16.33203125" customWidth="1"/>
    <col min="4" max="4" width="8.21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</v>
      </c>
      <c r="B2" s="1">
        <v>2487.09</v>
      </c>
      <c r="C2" s="1">
        <f>2242/B2</f>
        <v>0.9014551142097792</v>
      </c>
      <c r="D2" s="1">
        <f>1063/B2</f>
        <v>0.42740713042149658</v>
      </c>
    </row>
    <row r="3" spans="1:4" x14ac:dyDescent="0.25">
      <c r="A3" s="2" t="s">
        <v>4</v>
      </c>
      <c r="B3" s="1">
        <v>85.75</v>
      </c>
      <c r="C3" s="1">
        <v>0</v>
      </c>
      <c r="D3">
        <v>0</v>
      </c>
    </row>
    <row r="4" spans="1:4" x14ac:dyDescent="0.25">
      <c r="A4" s="2" t="s">
        <v>5</v>
      </c>
      <c r="B4" s="1">
        <v>91.4</v>
      </c>
      <c r="C4" s="1">
        <f t="shared" ref="C4:C15" si="0">2242/2401.36</f>
        <v>0.93363760535696438</v>
      </c>
      <c r="D4">
        <v>0</v>
      </c>
    </row>
    <row r="5" spans="1:4" x14ac:dyDescent="0.25">
      <c r="A5" s="2" t="s">
        <v>6</v>
      </c>
      <c r="B5" s="1">
        <v>66.48</v>
      </c>
      <c r="C5" s="1">
        <f t="shared" si="0"/>
        <v>0.93363760535696438</v>
      </c>
      <c r="D5">
        <v>0</v>
      </c>
    </row>
    <row r="6" spans="1:4" x14ac:dyDescent="0.25">
      <c r="A6" s="2" t="s">
        <v>7</v>
      </c>
      <c r="B6" s="1">
        <v>71.02</v>
      </c>
      <c r="C6" s="1">
        <f t="shared" si="0"/>
        <v>0.93363760535696438</v>
      </c>
      <c r="D6">
        <v>0</v>
      </c>
    </row>
    <row r="7" spans="1:4" x14ac:dyDescent="0.25">
      <c r="A7" s="2" t="s">
        <v>8</v>
      </c>
      <c r="B7" s="1">
        <v>151.41999999999999</v>
      </c>
      <c r="C7" s="1">
        <f t="shared" si="0"/>
        <v>0.93363760535696438</v>
      </c>
      <c r="D7" s="1">
        <f t="shared" ref="D7:D15" si="1">1063/2172.46</f>
        <v>0.4893070528341143</v>
      </c>
    </row>
    <row r="8" spans="1:4" x14ac:dyDescent="0.25">
      <c r="A8" s="2" t="s">
        <v>9</v>
      </c>
      <c r="B8" s="1">
        <v>220.58</v>
      </c>
      <c r="C8" s="1">
        <f t="shared" si="0"/>
        <v>0.93363760535696438</v>
      </c>
      <c r="D8" s="1">
        <f t="shared" si="1"/>
        <v>0.4893070528341143</v>
      </c>
    </row>
    <row r="9" spans="1:4" x14ac:dyDescent="0.25">
      <c r="A9" s="2" t="s">
        <v>10</v>
      </c>
      <c r="B9" s="1">
        <v>274.13</v>
      </c>
      <c r="C9" s="1">
        <f t="shared" si="0"/>
        <v>0.93363760535696438</v>
      </c>
      <c r="D9" s="1">
        <f t="shared" si="1"/>
        <v>0.4893070528341143</v>
      </c>
    </row>
    <row r="10" spans="1:4" x14ac:dyDescent="0.25">
      <c r="A10" s="2" t="s">
        <v>11</v>
      </c>
      <c r="B10" s="1">
        <v>229.58</v>
      </c>
      <c r="C10" s="1">
        <f t="shared" si="0"/>
        <v>0.93363760535696438</v>
      </c>
      <c r="D10" s="1">
        <f t="shared" si="1"/>
        <v>0.4893070528341143</v>
      </c>
    </row>
    <row r="11" spans="1:4" x14ac:dyDescent="0.25">
      <c r="A11" s="2" t="s">
        <v>12</v>
      </c>
      <c r="B11" s="1">
        <v>185.75</v>
      </c>
      <c r="C11" s="1">
        <f t="shared" si="0"/>
        <v>0.93363760535696438</v>
      </c>
      <c r="D11" s="1">
        <f t="shared" si="1"/>
        <v>0.4893070528341143</v>
      </c>
    </row>
    <row r="12" spans="1:4" x14ac:dyDescent="0.25">
      <c r="A12" s="2" t="s">
        <v>13</v>
      </c>
      <c r="B12" s="1">
        <v>177.63</v>
      </c>
      <c r="C12" s="1">
        <f t="shared" si="0"/>
        <v>0.93363760535696438</v>
      </c>
      <c r="D12" s="1">
        <f t="shared" si="1"/>
        <v>0.4893070528341143</v>
      </c>
    </row>
    <row r="13" spans="1:4" x14ac:dyDescent="0.25">
      <c r="A13" s="2" t="s">
        <v>14</v>
      </c>
      <c r="B13" s="1">
        <v>178.57</v>
      </c>
      <c r="C13" s="1">
        <f t="shared" si="0"/>
        <v>0.93363760535696438</v>
      </c>
      <c r="D13" s="1">
        <f t="shared" si="1"/>
        <v>0.4893070528341143</v>
      </c>
    </row>
    <row r="14" spans="1:4" x14ac:dyDescent="0.25">
      <c r="A14" s="2" t="s">
        <v>15</v>
      </c>
      <c r="B14" s="1">
        <v>173.24</v>
      </c>
      <c r="C14" s="1">
        <f t="shared" si="0"/>
        <v>0.93363760535696438</v>
      </c>
      <c r="D14" s="1">
        <f t="shared" si="1"/>
        <v>0.4893070528341143</v>
      </c>
    </row>
    <row r="15" spans="1:4" x14ac:dyDescent="0.25">
      <c r="A15" s="2" t="s">
        <v>16</v>
      </c>
      <c r="B15" s="1">
        <v>176.65</v>
      </c>
      <c r="C15" s="1">
        <f t="shared" si="0"/>
        <v>0.93363760535696438</v>
      </c>
      <c r="D15" s="1">
        <f t="shared" si="1"/>
        <v>0.4893070528341143</v>
      </c>
    </row>
    <row r="16" spans="1:4" x14ac:dyDescent="0.25">
      <c r="A16" t="s">
        <v>17</v>
      </c>
      <c r="B16">
        <v>404.91</v>
      </c>
      <c r="C16">
        <v>0.93</v>
      </c>
      <c r="D16">
        <v>0.49</v>
      </c>
    </row>
    <row r="17" spans="1:4" x14ac:dyDescent="0.25">
      <c r="A17" s="2"/>
      <c r="B17" s="1"/>
      <c r="C17" s="1"/>
      <c r="D17" s="1"/>
    </row>
    <row r="18" spans="1:4" x14ac:dyDescent="0.25">
      <c r="A18" s="2"/>
      <c r="B18" s="1"/>
      <c r="C18" s="1"/>
      <c r="D18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E16" sqref="E16"/>
    </sheetView>
  </sheetViews>
  <sheetFormatPr defaultColWidth="9" defaultRowHeight="14.4" x14ac:dyDescent="0.25"/>
  <cols>
    <col min="8" max="8" width="9.21875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</v>
      </c>
      <c r="B2" s="1">
        <f>SUM(B3:B16)</f>
        <v>1076.6199999999999</v>
      </c>
      <c r="C2" s="1">
        <f>810/B2</f>
        <v>0.75235459122067216</v>
      </c>
      <c r="D2" s="1">
        <f>262/B2</f>
        <v>0.2433542011108841</v>
      </c>
    </row>
    <row r="3" spans="1:4" x14ac:dyDescent="0.25">
      <c r="A3" s="2" t="s">
        <v>4</v>
      </c>
      <c r="B3" s="1">
        <v>40.790300000000002</v>
      </c>
      <c r="C3" s="1">
        <v>0</v>
      </c>
      <c r="D3">
        <v>0</v>
      </c>
    </row>
    <row r="4" spans="1:4" x14ac:dyDescent="0.25">
      <c r="A4" s="2" t="s">
        <v>5</v>
      </c>
      <c r="B4" s="1">
        <v>43.1113</v>
      </c>
      <c r="C4" s="1">
        <f>810/1035.83</f>
        <v>0.78198159929718203</v>
      </c>
      <c r="D4">
        <v>0</v>
      </c>
    </row>
    <row r="5" spans="1:4" x14ac:dyDescent="0.25">
      <c r="A5" s="2" t="s">
        <v>6</v>
      </c>
      <c r="B5" s="1">
        <v>28.226400000000002</v>
      </c>
      <c r="C5" s="1">
        <f t="shared" ref="C5:C16" si="0">810/1035.83</f>
        <v>0.78198159929718203</v>
      </c>
      <c r="D5">
        <v>0</v>
      </c>
    </row>
    <row r="6" spans="1:4" x14ac:dyDescent="0.25">
      <c r="A6" s="2" t="s">
        <v>7</v>
      </c>
      <c r="B6" s="1">
        <v>81.7453</v>
      </c>
      <c r="C6" s="1">
        <f t="shared" si="0"/>
        <v>0.78198159929718203</v>
      </c>
      <c r="D6">
        <v>0</v>
      </c>
    </row>
    <row r="7" spans="1:4" x14ac:dyDescent="0.25">
      <c r="A7" s="2" t="s">
        <v>8</v>
      </c>
      <c r="B7" s="1">
        <v>143.02719999999999</v>
      </c>
      <c r="C7" s="1">
        <f t="shared" si="0"/>
        <v>0.78198159929718203</v>
      </c>
      <c r="D7" s="1">
        <f>262/882.75</f>
        <v>0.29679977343528746</v>
      </c>
    </row>
    <row r="8" spans="1:4" x14ac:dyDescent="0.25">
      <c r="A8" s="2" t="s">
        <v>9</v>
      </c>
      <c r="B8" s="1">
        <v>89.602500000000006</v>
      </c>
      <c r="C8" s="1">
        <f t="shared" si="0"/>
        <v>0.78198159929718203</v>
      </c>
      <c r="D8" s="1">
        <f t="shared" ref="D8:D16" si="1">262/882.75</f>
        <v>0.29679977343528746</v>
      </c>
    </row>
    <row r="9" spans="1:4" x14ac:dyDescent="0.25">
      <c r="A9" s="2" t="s">
        <v>10</v>
      </c>
      <c r="B9" s="1">
        <v>84.229500000000002</v>
      </c>
      <c r="C9" s="1">
        <f t="shared" si="0"/>
        <v>0.78198159929718203</v>
      </c>
      <c r="D9" s="1">
        <f t="shared" si="1"/>
        <v>0.29679977343528746</v>
      </c>
    </row>
    <row r="10" spans="1:4" x14ac:dyDescent="0.25">
      <c r="A10" s="2" t="s">
        <v>11</v>
      </c>
      <c r="B10" s="1">
        <v>70.119699999999995</v>
      </c>
      <c r="C10" s="1">
        <f t="shared" si="0"/>
        <v>0.78198159929718203</v>
      </c>
      <c r="D10" s="1">
        <f t="shared" si="1"/>
        <v>0.29679977343528746</v>
      </c>
    </row>
    <row r="11" spans="1:4" x14ac:dyDescent="0.25">
      <c r="A11" s="2" t="s">
        <v>12</v>
      </c>
      <c r="B11" s="1">
        <v>86.4953</v>
      </c>
      <c r="C11" s="1">
        <f t="shared" si="0"/>
        <v>0.78198159929718203</v>
      </c>
      <c r="D11" s="1">
        <f t="shared" si="1"/>
        <v>0.29679977343528746</v>
      </c>
    </row>
    <row r="12" spans="1:4" x14ac:dyDescent="0.25">
      <c r="A12" s="2" t="s">
        <v>13</v>
      </c>
      <c r="B12" s="1">
        <v>104.9332</v>
      </c>
      <c r="C12" s="1">
        <f t="shared" si="0"/>
        <v>0.78198159929718203</v>
      </c>
      <c r="D12" s="1">
        <f t="shared" si="1"/>
        <v>0.29679977343528746</v>
      </c>
    </row>
    <row r="13" spans="1:4" x14ac:dyDescent="0.25">
      <c r="A13" s="2" t="s">
        <v>14</v>
      </c>
      <c r="B13" s="1">
        <v>69.174999999999997</v>
      </c>
      <c r="C13" s="1">
        <f t="shared" si="0"/>
        <v>0.78198159929718203</v>
      </c>
      <c r="D13" s="1">
        <f t="shared" si="1"/>
        <v>0.29679977343528746</v>
      </c>
    </row>
    <row r="14" spans="1:4" x14ac:dyDescent="0.25">
      <c r="A14" s="2" t="s">
        <v>15</v>
      </c>
      <c r="B14" s="1">
        <v>72.622799999999998</v>
      </c>
      <c r="C14" s="1">
        <f t="shared" si="0"/>
        <v>0.78198159929718203</v>
      </c>
      <c r="D14" s="1">
        <f t="shared" si="1"/>
        <v>0.29679977343528746</v>
      </c>
    </row>
    <row r="15" spans="1:4" x14ac:dyDescent="0.25">
      <c r="A15" s="2" t="s">
        <v>16</v>
      </c>
      <c r="B15" s="1">
        <v>56.872399999999999</v>
      </c>
      <c r="C15" s="1">
        <f t="shared" si="0"/>
        <v>0.78198159929718203</v>
      </c>
      <c r="D15" s="1">
        <f t="shared" si="1"/>
        <v>0.29679977343528746</v>
      </c>
    </row>
    <row r="16" spans="1:4" x14ac:dyDescent="0.25">
      <c r="A16" t="s">
        <v>17</v>
      </c>
      <c r="B16">
        <v>105.6691</v>
      </c>
      <c r="C16" s="1">
        <f t="shared" si="0"/>
        <v>0.78198159929718203</v>
      </c>
      <c r="D16" s="1">
        <f t="shared" si="1"/>
        <v>0.29679977343528746</v>
      </c>
    </row>
    <row r="17" spans="7:7" x14ac:dyDescent="0.25">
      <c r="G17" s="3"/>
    </row>
    <row r="18" spans="7:7" x14ac:dyDescent="0.25">
      <c r="G18" s="3"/>
    </row>
    <row r="19" spans="7:7" x14ac:dyDescent="0.25">
      <c r="G19" s="3"/>
    </row>
    <row r="20" spans="7:7" x14ac:dyDescent="0.25">
      <c r="G20" s="3"/>
    </row>
    <row r="21" spans="7:7" x14ac:dyDescent="0.25">
      <c r="G21" s="3"/>
    </row>
    <row r="22" spans="7:7" x14ac:dyDescent="0.25">
      <c r="G22" s="3"/>
    </row>
    <row r="23" spans="7:7" x14ac:dyDescent="0.25">
      <c r="G23" s="3"/>
    </row>
    <row r="24" spans="7:7" x14ac:dyDescent="0.25">
      <c r="G24" s="3"/>
    </row>
    <row r="25" spans="7:7" x14ac:dyDescent="0.25">
      <c r="G25" s="3"/>
    </row>
    <row r="26" spans="7:7" x14ac:dyDescent="0.25">
      <c r="G26" s="3"/>
    </row>
    <row r="27" spans="7:7" x14ac:dyDescent="0.25">
      <c r="G27" s="3"/>
    </row>
    <row r="28" spans="7:7" x14ac:dyDescent="0.25">
      <c r="G28" s="3"/>
    </row>
    <row r="29" spans="7:7" x14ac:dyDescent="0.25">
      <c r="G29" s="3"/>
    </row>
    <row r="30" spans="7:7" x14ac:dyDescent="0.25">
      <c r="G30" s="3"/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G8" sqref="G8"/>
    </sheetView>
  </sheetViews>
  <sheetFormatPr defaultColWidth="9" defaultRowHeight="14.4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</v>
      </c>
      <c r="B2" s="1">
        <f>SUM(B3:B16)</f>
        <v>1076.6199999999999</v>
      </c>
      <c r="C2" s="1">
        <f>900/B2</f>
        <v>0.83594954580074687</v>
      </c>
      <c r="D2" s="1">
        <f>810/B2</f>
        <v>0.75235459122067216</v>
      </c>
    </row>
    <row r="3" spans="1:4" x14ac:dyDescent="0.25">
      <c r="A3" s="2" t="s">
        <v>4</v>
      </c>
      <c r="B3" s="1">
        <v>40.790300000000002</v>
      </c>
      <c r="C3" s="1">
        <v>0</v>
      </c>
      <c r="D3">
        <v>0</v>
      </c>
    </row>
    <row r="4" spans="1:4" x14ac:dyDescent="0.25">
      <c r="A4" s="2" t="s">
        <v>5</v>
      </c>
      <c r="B4" s="1">
        <v>43.1113</v>
      </c>
      <c r="C4" s="1">
        <f t="shared" ref="C4:C16" si="0">900/1035.83</f>
        <v>0.86886844366353555</v>
      </c>
      <c r="D4">
        <v>0</v>
      </c>
    </row>
    <row r="5" spans="1:4" x14ac:dyDescent="0.25">
      <c r="A5" s="2" t="s">
        <v>6</v>
      </c>
      <c r="B5" s="1">
        <v>28.226400000000002</v>
      </c>
      <c r="C5" s="1">
        <f t="shared" si="0"/>
        <v>0.86886844366353555</v>
      </c>
      <c r="D5">
        <v>0</v>
      </c>
    </row>
    <row r="6" spans="1:4" x14ac:dyDescent="0.25">
      <c r="A6" s="2" t="s">
        <v>7</v>
      </c>
      <c r="B6" s="1">
        <v>81.7453</v>
      </c>
      <c r="C6" s="1">
        <f t="shared" si="0"/>
        <v>0.86886844366353555</v>
      </c>
      <c r="D6">
        <v>0</v>
      </c>
    </row>
    <row r="7" spans="1:4" x14ac:dyDescent="0.25">
      <c r="A7" s="2" t="s">
        <v>8</v>
      </c>
      <c r="B7" s="1">
        <v>143.02719999999999</v>
      </c>
      <c r="C7" s="1">
        <f t="shared" si="0"/>
        <v>0.86886844366353555</v>
      </c>
      <c r="D7" s="1">
        <f t="shared" ref="D7:D16" si="1">810/882.75</f>
        <v>0.91758708581138493</v>
      </c>
    </row>
    <row r="8" spans="1:4" x14ac:dyDescent="0.25">
      <c r="A8" s="2" t="s">
        <v>9</v>
      </c>
      <c r="B8" s="1">
        <v>89.602500000000006</v>
      </c>
      <c r="C8" s="1">
        <f t="shared" si="0"/>
        <v>0.86886844366353555</v>
      </c>
      <c r="D8" s="1">
        <f t="shared" si="1"/>
        <v>0.91758708581138493</v>
      </c>
    </row>
    <row r="9" spans="1:4" x14ac:dyDescent="0.25">
      <c r="A9" s="2" t="s">
        <v>10</v>
      </c>
      <c r="B9" s="1">
        <v>84.229500000000002</v>
      </c>
      <c r="C9" s="1">
        <f t="shared" si="0"/>
        <v>0.86886844366353555</v>
      </c>
      <c r="D9" s="1">
        <f t="shared" si="1"/>
        <v>0.91758708581138493</v>
      </c>
    </row>
    <row r="10" spans="1:4" x14ac:dyDescent="0.25">
      <c r="A10" s="2" t="s">
        <v>11</v>
      </c>
      <c r="B10" s="1">
        <v>70.119699999999995</v>
      </c>
      <c r="C10" s="1">
        <f t="shared" si="0"/>
        <v>0.86886844366353555</v>
      </c>
      <c r="D10" s="1">
        <f t="shared" si="1"/>
        <v>0.91758708581138493</v>
      </c>
    </row>
    <row r="11" spans="1:4" x14ac:dyDescent="0.25">
      <c r="A11" s="2" t="s">
        <v>12</v>
      </c>
      <c r="B11" s="1">
        <v>86.4953</v>
      </c>
      <c r="C11" s="1">
        <f t="shared" si="0"/>
        <v>0.86886844366353555</v>
      </c>
      <c r="D11" s="1">
        <f t="shared" si="1"/>
        <v>0.91758708581138493</v>
      </c>
    </row>
    <row r="12" spans="1:4" x14ac:dyDescent="0.25">
      <c r="A12" s="2" t="s">
        <v>13</v>
      </c>
      <c r="B12" s="1">
        <v>104.9332</v>
      </c>
      <c r="C12" s="1">
        <f t="shared" si="0"/>
        <v>0.86886844366353555</v>
      </c>
      <c r="D12" s="1">
        <f t="shared" si="1"/>
        <v>0.91758708581138493</v>
      </c>
    </row>
    <row r="13" spans="1:4" x14ac:dyDescent="0.25">
      <c r="A13" s="2" t="s">
        <v>14</v>
      </c>
      <c r="B13" s="1">
        <v>69.174999999999997</v>
      </c>
      <c r="C13" s="1">
        <f t="shared" si="0"/>
        <v>0.86886844366353555</v>
      </c>
      <c r="D13" s="1">
        <f t="shared" si="1"/>
        <v>0.91758708581138493</v>
      </c>
    </row>
    <row r="14" spans="1:4" x14ac:dyDescent="0.25">
      <c r="A14" s="2" t="s">
        <v>15</v>
      </c>
      <c r="B14" s="1">
        <v>72.622799999999998</v>
      </c>
      <c r="C14" s="1">
        <f t="shared" si="0"/>
        <v>0.86886844366353555</v>
      </c>
      <c r="D14" s="1">
        <f t="shared" si="1"/>
        <v>0.91758708581138493</v>
      </c>
    </row>
    <row r="15" spans="1:4" x14ac:dyDescent="0.25">
      <c r="A15" s="2" t="s">
        <v>16</v>
      </c>
      <c r="B15" s="1">
        <v>56.872399999999999</v>
      </c>
      <c r="C15" s="1">
        <f t="shared" si="0"/>
        <v>0.86886844366353555</v>
      </c>
      <c r="D15" s="1">
        <f t="shared" si="1"/>
        <v>0.91758708581138493</v>
      </c>
    </row>
    <row r="16" spans="1:4" x14ac:dyDescent="0.25">
      <c r="A16" t="s">
        <v>17</v>
      </c>
      <c r="B16">
        <v>105.6691</v>
      </c>
      <c r="C16" s="1">
        <f t="shared" si="0"/>
        <v>0.86886844366353555</v>
      </c>
      <c r="D16" s="1">
        <f t="shared" si="1"/>
        <v>0.91758708581138493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G11" sqref="G11"/>
    </sheetView>
  </sheetViews>
  <sheetFormatPr defaultColWidth="8.88671875" defaultRowHeight="14.4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</v>
      </c>
      <c r="B2" s="1">
        <f>SUM(B3:B16)</f>
        <v>1076.6199999999999</v>
      </c>
      <c r="C2" s="1">
        <f>900/B2</f>
        <v>0.83594954580074687</v>
      </c>
      <c r="D2" s="1">
        <f>810/B2</f>
        <v>0.75235459122067216</v>
      </c>
    </row>
    <row r="3" spans="1:4" x14ac:dyDescent="0.25">
      <c r="A3" s="2" t="s">
        <v>4</v>
      </c>
      <c r="B3" s="1">
        <v>40.790300000000002</v>
      </c>
      <c r="C3" s="1">
        <v>0</v>
      </c>
      <c r="D3">
        <v>0</v>
      </c>
    </row>
    <row r="4" spans="1:4" x14ac:dyDescent="0.25">
      <c r="A4" s="2" t="s">
        <v>5</v>
      </c>
      <c r="B4" s="1">
        <v>43.1113</v>
      </c>
      <c r="C4" s="1">
        <f t="shared" ref="C4:C16" si="0">900/1035.83</f>
        <v>0.86886844366353555</v>
      </c>
      <c r="D4">
        <v>0</v>
      </c>
    </row>
    <row r="5" spans="1:4" x14ac:dyDescent="0.25">
      <c r="A5" s="2" t="s">
        <v>6</v>
      </c>
      <c r="B5" s="1">
        <v>28.226400000000002</v>
      </c>
      <c r="C5" s="1">
        <f t="shared" si="0"/>
        <v>0.86886844366353555</v>
      </c>
      <c r="D5">
        <v>0</v>
      </c>
    </row>
    <row r="6" spans="1:4" x14ac:dyDescent="0.25">
      <c r="A6" s="2" t="s">
        <v>7</v>
      </c>
      <c r="B6" s="1">
        <v>81.7453</v>
      </c>
      <c r="C6" s="1">
        <f t="shared" si="0"/>
        <v>0.86886844366353555</v>
      </c>
      <c r="D6">
        <v>0</v>
      </c>
    </row>
    <row r="7" spans="1:4" x14ac:dyDescent="0.25">
      <c r="A7" s="2" t="s">
        <v>8</v>
      </c>
      <c r="B7" s="1">
        <v>143.02719999999999</v>
      </c>
      <c r="C7" s="1">
        <f t="shared" si="0"/>
        <v>0.86886844366353555</v>
      </c>
      <c r="D7" s="1">
        <f t="shared" ref="D7:D16" si="1">810/882.75</f>
        <v>0.91758708581138493</v>
      </c>
    </row>
    <row r="8" spans="1:4" x14ac:dyDescent="0.25">
      <c r="A8" s="2" t="s">
        <v>9</v>
      </c>
      <c r="B8" s="1">
        <v>89.602500000000006</v>
      </c>
      <c r="C8" s="1">
        <f t="shared" si="0"/>
        <v>0.86886844366353555</v>
      </c>
      <c r="D8" s="1">
        <f t="shared" si="1"/>
        <v>0.91758708581138493</v>
      </c>
    </row>
    <row r="9" spans="1:4" x14ac:dyDescent="0.25">
      <c r="A9" s="2" t="s">
        <v>10</v>
      </c>
      <c r="B9" s="1">
        <v>84.229500000000002</v>
      </c>
      <c r="C9" s="1">
        <f t="shared" si="0"/>
        <v>0.86886844366353555</v>
      </c>
      <c r="D9" s="1">
        <f t="shared" si="1"/>
        <v>0.91758708581138493</v>
      </c>
    </row>
    <row r="10" spans="1:4" x14ac:dyDescent="0.25">
      <c r="A10" s="2" t="s">
        <v>11</v>
      </c>
      <c r="B10" s="1">
        <v>70.119699999999995</v>
      </c>
      <c r="C10" s="1">
        <f t="shared" si="0"/>
        <v>0.86886844366353555</v>
      </c>
      <c r="D10" s="1">
        <f t="shared" si="1"/>
        <v>0.91758708581138493</v>
      </c>
    </row>
    <row r="11" spans="1:4" x14ac:dyDescent="0.25">
      <c r="A11" s="2" t="s">
        <v>12</v>
      </c>
      <c r="B11" s="1">
        <v>86.4953</v>
      </c>
      <c r="C11" s="1">
        <f t="shared" si="0"/>
        <v>0.86886844366353555</v>
      </c>
      <c r="D11" s="1">
        <f t="shared" si="1"/>
        <v>0.91758708581138493</v>
      </c>
    </row>
    <row r="12" spans="1:4" x14ac:dyDescent="0.25">
      <c r="A12" s="2" t="s">
        <v>13</v>
      </c>
      <c r="B12" s="1">
        <v>104.9332</v>
      </c>
      <c r="C12" s="1">
        <f t="shared" si="0"/>
        <v>0.86886844366353555</v>
      </c>
      <c r="D12" s="1">
        <f t="shared" si="1"/>
        <v>0.91758708581138493</v>
      </c>
    </row>
    <row r="13" spans="1:4" x14ac:dyDescent="0.25">
      <c r="A13" s="2" t="s">
        <v>14</v>
      </c>
      <c r="B13" s="1">
        <v>69.174999999999997</v>
      </c>
      <c r="C13" s="1">
        <f t="shared" si="0"/>
        <v>0.86886844366353555</v>
      </c>
      <c r="D13" s="1">
        <f t="shared" si="1"/>
        <v>0.91758708581138493</v>
      </c>
    </row>
    <row r="14" spans="1:4" x14ac:dyDescent="0.25">
      <c r="A14" s="2" t="s">
        <v>15</v>
      </c>
      <c r="B14" s="1">
        <v>72.622799999999998</v>
      </c>
      <c r="C14" s="1">
        <f t="shared" si="0"/>
        <v>0.86886844366353555</v>
      </c>
      <c r="D14" s="1">
        <f t="shared" si="1"/>
        <v>0.91758708581138493</v>
      </c>
    </row>
    <row r="15" spans="1:4" x14ac:dyDescent="0.25">
      <c r="A15" s="2" t="s">
        <v>16</v>
      </c>
      <c r="B15" s="1">
        <v>56.872399999999999</v>
      </c>
      <c r="C15" s="1">
        <f t="shared" si="0"/>
        <v>0.86886844366353555</v>
      </c>
      <c r="D15" s="1">
        <f t="shared" si="1"/>
        <v>0.91758708581138493</v>
      </c>
    </row>
    <row r="16" spans="1:4" x14ac:dyDescent="0.25">
      <c r="A16" t="s">
        <v>17</v>
      </c>
      <c r="B16">
        <v>105.6691</v>
      </c>
      <c r="C16" s="1">
        <f t="shared" si="0"/>
        <v>0.86886844366353555</v>
      </c>
      <c r="D16" s="1">
        <f t="shared" si="1"/>
        <v>0.91758708581138493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shanghai</vt:lpstr>
      <vt:lpstr>wuhan</vt:lpstr>
      <vt:lpstr>shenzhen</vt:lpstr>
      <vt:lpstr>changsha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kg</cp:lastModifiedBy>
  <dcterms:created xsi:type="dcterms:W3CDTF">2018-05-26T19:28:00Z</dcterms:created>
  <dcterms:modified xsi:type="dcterms:W3CDTF">2022-04-11T09:30:46Z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